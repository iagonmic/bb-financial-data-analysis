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data-science\bb-financial-data-analysis\"/>
    </mc:Choice>
  </mc:AlternateContent>
  <xr:revisionPtr revIDLastSave="0" documentId="13_ncr:1_{FCAE9473-0AE3-498C-B244-60660D30E7C9}" xr6:coauthVersionLast="36" xr6:coauthVersionMax="36" xr10:uidLastSave="{00000000-0000-0000-0000-000000000000}"/>
  <bookViews>
    <workbookView xWindow="0" yWindow="0" windowWidth="28800" windowHeight="12105" activeTab="2" xr2:uid="{464F1198-5336-4D20-A796-DE71997B8A3C}"/>
  </bookViews>
  <sheets>
    <sheet name="BP" sheetId="3" r:id="rId1"/>
    <sheet name="DRE" sheetId="2" r:id="rId2"/>
    <sheet name="Indicadores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E32" i="1"/>
  <c r="E31" i="1"/>
  <c r="E30" i="1"/>
  <c r="E29" i="1"/>
  <c r="E28" i="1"/>
  <c r="E27" i="1"/>
  <c r="E24" i="1"/>
  <c r="E26" i="1"/>
  <c r="E25" i="1"/>
  <c r="E34" i="1"/>
  <c r="E23" i="1"/>
  <c r="E12" i="1"/>
  <c r="E22" i="1"/>
  <c r="E21" i="1"/>
  <c r="E20" i="1"/>
  <c r="E19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56" i="3"/>
  <c r="E30" i="3"/>
  <c r="E4" i="3"/>
  <c r="E4" i="1" s="1"/>
  <c r="E2" i="1"/>
  <c r="C18" i="2"/>
  <c r="C11" i="2"/>
  <c r="C4" i="2"/>
  <c r="E60" i="3"/>
  <c r="E66" i="3"/>
  <c r="E34" i="3"/>
  <c r="E40" i="3"/>
  <c r="E14" i="3"/>
  <c r="E8" i="3"/>
  <c r="E3" i="1" l="1"/>
</calcChain>
</file>

<file path=xl/sharedStrings.xml><?xml version="1.0" encoding="utf-8"?>
<sst xmlns="http://schemas.openxmlformats.org/spreadsheetml/2006/main" count="436" uniqueCount="93">
  <si>
    <t>Ano</t>
  </si>
  <si>
    <t>Conta</t>
  </si>
  <si>
    <t>Valor</t>
  </si>
  <si>
    <t>Ativo</t>
  </si>
  <si>
    <t>Total do Ativo</t>
  </si>
  <si>
    <t>Disponibilidades</t>
  </si>
  <si>
    <t>Ativos Financeiros</t>
  </si>
  <si>
    <t>Ativos Fiscais</t>
  </si>
  <si>
    <t>Investimentos</t>
  </si>
  <si>
    <t>Imobilizado de Uso</t>
  </si>
  <si>
    <t>Intangível</t>
  </si>
  <si>
    <t>Outros Ativos Não Financeiros</t>
  </si>
  <si>
    <t>(Provisões para Perdas Associadas ao Risco de Crédito)</t>
  </si>
  <si>
    <t>Passivo</t>
  </si>
  <si>
    <t>Grupo</t>
  </si>
  <si>
    <t>Subgrupo</t>
  </si>
  <si>
    <t>Ativo Circulante</t>
  </si>
  <si>
    <t>Ativo Não Circulante</t>
  </si>
  <si>
    <t>Total</t>
  </si>
  <si>
    <t>Conta Redutora do Ativo</t>
  </si>
  <si>
    <t>Passivos Financeiros</t>
  </si>
  <si>
    <t>Provisões</t>
  </si>
  <si>
    <t>Passivos Fiscais</t>
  </si>
  <si>
    <t>Passivo Circulante</t>
  </si>
  <si>
    <t>Patrimônio Líquido</t>
  </si>
  <si>
    <t>Total do Passivo</t>
  </si>
  <si>
    <t>Total do Ativo Circulante</t>
  </si>
  <si>
    <t>Total do Ativo Não Circulante</t>
  </si>
  <si>
    <t>Total do Passivo Circulante</t>
  </si>
  <si>
    <t>Capital</t>
  </si>
  <si>
    <t>Instrumento Elegível ao Capital Principal</t>
  </si>
  <si>
    <t>Reservas de Capital</t>
  </si>
  <si>
    <t>Reservas de Lucros</t>
  </si>
  <si>
    <t>Outros Resultados Abrangentes</t>
  </si>
  <si>
    <t>(Ações em Tesouraria)</t>
  </si>
  <si>
    <t>Lucros ou Prejuízos Acumulados</t>
  </si>
  <si>
    <t>Participação dos Não Controladores</t>
  </si>
  <si>
    <t>Reservas</t>
  </si>
  <si>
    <t>Ajustes</t>
  </si>
  <si>
    <t>Conta Redutora do PL</t>
  </si>
  <si>
    <t>Resultados</t>
  </si>
  <si>
    <t>Não Controladores</t>
  </si>
  <si>
    <t>Outros Passivos Não Financeiros</t>
  </si>
  <si>
    <t>Receitas de Prestação de Serviços</t>
  </si>
  <si>
    <t>Receita Total</t>
  </si>
  <si>
    <t>Resultado Operacional</t>
  </si>
  <si>
    <t>Resultado Antes da Trib. s/ o Lucro</t>
  </si>
  <si>
    <t>Imposto de Renda e Contribuição Social</t>
  </si>
  <si>
    <t>Lucro Líquido</t>
  </si>
  <si>
    <t>Resultado da Intermediação Financeira</t>
  </si>
  <si>
    <t>Nota: no ano de 2022 e 2023 não existe resultado da intermediação financeira, então foi utilizada a margem financeira líquida, que é o também retira os detalhamentos de provisão e é utilizada para cálculos analíticos. Foi inserida uma proxy no lugar nos anos 22 e 23.</t>
  </si>
  <si>
    <t>Indicador</t>
  </si>
  <si>
    <t>Fórmula</t>
  </si>
  <si>
    <t>Referência</t>
  </si>
  <si>
    <t>Liquidez Imediata</t>
  </si>
  <si>
    <t>Significado</t>
  </si>
  <si>
    <t>verifica a disponibilidade financeira existente no caixa ou no banco para pagamento das dívidas de curto prazo</t>
  </si>
  <si>
    <t>verifica a capacidade financeira da empresa no curto e no longo prazo.</t>
  </si>
  <si>
    <t xml:space="preserve">Liquidez Geral </t>
  </si>
  <si>
    <t>(AC+ANC)/(PC+PNC)</t>
  </si>
  <si>
    <t>Liquidez Corrente ou Comum</t>
  </si>
  <si>
    <t>Disponibilidades/PC</t>
  </si>
  <si>
    <t>AC/PC</t>
  </si>
  <si>
    <t>verifica a capacidade financeira da empresa no curto prazo</t>
  </si>
  <si>
    <t>Interpretação</t>
  </si>
  <si>
    <t>quanto maior, melhor</t>
  </si>
  <si>
    <t xml:space="preserve">Grau de Endividamento </t>
  </si>
  <si>
    <t>representa a relação entre o capital próprio e o capital de terceiros, ou seja, revela o quanto a empresa depende de recursos de terceiros, e isso pode influenciar diretamente na liberdade de decisão dos proprietários</t>
  </si>
  <si>
    <t>quanto menor, melhor</t>
  </si>
  <si>
    <t>(PC+PNC)/PL</t>
  </si>
  <si>
    <t xml:space="preserve">Composição do Endividamento </t>
  </si>
  <si>
    <t>PC/(PC+PNC)</t>
  </si>
  <si>
    <t>BP</t>
  </si>
  <si>
    <t>através dessa análise é possível mensurar o volume de dívidas da empresa no curto prazo em relação à dívida total</t>
  </si>
  <si>
    <t>Imobilização do Patrimônio Líquido</t>
  </si>
  <si>
    <t>Ativo Imobilizado/PL</t>
  </si>
  <si>
    <t>quanto mais a empresa imobiliza o seu capital próprio, mais ela dependerá de capitais de terceiros. Esse indicador mostra o volume de capital circulante próprio</t>
  </si>
  <si>
    <t>DRE</t>
  </si>
  <si>
    <t xml:space="preserve">Giro do Ativo </t>
  </si>
  <si>
    <t>Receita Líquida/Ativo Total</t>
  </si>
  <si>
    <t>estabelece a relação entre as vendas do período e os investimentos totais efetuados na empresa, expressando o nível de eficiência com que são utilizados os recursos aplicados, ou seja, a produtividade dos investimentos totais</t>
  </si>
  <si>
    <t>Margem Líquida</t>
  </si>
  <si>
    <t>Lucro Líquido/Receita Líquida</t>
  </si>
  <si>
    <t>Também conhecido como retorno sobre as vendas, apresenta o percentual de lucratividade gerado</t>
  </si>
  <si>
    <t>Rentabilidade ou Retorno do Ativo (ROA ou ROI)</t>
  </si>
  <si>
    <t>mede a eficiência global da alta administração na geração de lucros com seus investimentos</t>
  </si>
  <si>
    <t>Lucro Líquido/Ativo Total</t>
  </si>
  <si>
    <t>Rentabilidade do Patrimônio Líquido ou Retorno do Capital Próprio</t>
  </si>
  <si>
    <t>Lucro Líquido/Patrimônio Líquido</t>
  </si>
  <si>
    <t>apresenta o retorno que os acionistas ou quotistas da empresa estão obtendo em relação aos investimentos na empresa, ficando patente o prêmio do investidor ou proprietário pelo risco de seu empreendimento quando o indicador (taxa) obtido é superior à taxa média de juros do mercado</t>
  </si>
  <si>
    <t>Grau de Alavancagem Financeira</t>
  </si>
  <si>
    <t>Rentabilidade do Patrimônio Líquido/Rentabilidade do Ativo</t>
  </si>
  <si>
    <t>avalia a capacidade da empresa em utilizar encargos financeiros fixos para maximizar os efeitos da variação do lucro. Determina o grau de impacto nos resultados decorrentes da utilização de capitais de terceiros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</si>
</sst>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/>
    <xf numFmtId="44" fontId="2" fillId="0" borderId="0" xfId="0" applyNumberFormat="1" applyFont="1"/>
    <xf numFmtId="1" fontId="2" fillId="0" borderId="0" xfId="0" applyNumberFormat="1" applyFont="1"/>
    <xf numFmtId="1" fontId="3" fillId="2" borderId="0" xfId="1" applyNumberFormat="1" applyFont="1"/>
    <xf numFmtId="0" fontId="3" fillId="2" borderId="0" xfId="1" applyFont="1"/>
    <xf numFmtId="44" fontId="3" fillId="2" borderId="0" xfId="1" applyNumberFormat="1" applyFont="1"/>
    <xf numFmtId="0" fontId="4" fillId="0" borderId="0" xfId="0" applyFont="1"/>
    <xf numFmtId="1" fontId="2" fillId="0" borderId="0" xfId="0" applyNumberFormat="1" applyFont="1" applyBorder="1"/>
    <xf numFmtId="0" fontId="2" fillId="0" borderId="0" xfId="0" applyFont="1" applyBorder="1"/>
    <xf numFmtId="44" fontId="2" fillId="0" borderId="0" xfId="0" applyNumberFormat="1" applyFont="1" applyBorder="1"/>
    <xf numFmtId="1" fontId="2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44" fontId="2" fillId="0" borderId="1" xfId="0" applyNumberFormat="1" applyFont="1" applyBorder="1"/>
    <xf numFmtId="2" fontId="2" fillId="0" borderId="0" xfId="0" applyNumberFormat="1" applyFont="1"/>
    <xf numFmtId="2" fontId="3" fillId="2" borderId="0" xfId="1" applyNumberFormat="1" applyFont="1"/>
    <xf numFmtId="2" fontId="2" fillId="0" borderId="1" xfId="0" applyNumberFormat="1" applyFont="1" applyBorder="1"/>
  </cellXfs>
  <cellStyles count="2">
    <cellStyle name="Ênfase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CC67-A2E4-457F-8081-D7FEC24A439E}">
  <dimension ref="A1:F80"/>
  <sheetViews>
    <sheetView topLeftCell="A52" workbookViewId="0">
      <selection activeCell="C18" sqref="C18"/>
    </sheetView>
  </sheetViews>
  <sheetFormatPr defaultRowHeight="15.75" x14ac:dyDescent="0.25"/>
  <cols>
    <col min="1" max="1" width="9.140625" style="3"/>
    <col min="2" max="2" width="18.5703125" style="1" bestFit="1" customWidth="1"/>
    <col min="3" max="3" width="24" style="1" bestFit="1" customWidth="1"/>
    <col min="4" max="4" width="53.85546875" style="1" bestFit="1" customWidth="1"/>
    <col min="5" max="5" width="17.7109375" style="2" bestFit="1" customWidth="1"/>
    <col min="6" max="6" width="17.7109375" style="1" bestFit="1" customWidth="1"/>
    <col min="7" max="16384" width="9.140625" style="1"/>
  </cols>
  <sheetData>
    <row r="1" spans="1:6" x14ac:dyDescent="0.25">
      <c r="A1" s="4" t="s">
        <v>0</v>
      </c>
      <c r="B1" s="5" t="s">
        <v>14</v>
      </c>
      <c r="C1" s="5" t="s">
        <v>15</v>
      </c>
      <c r="D1" s="5" t="s">
        <v>1</v>
      </c>
      <c r="E1" s="6" t="s">
        <v>2</v>
      </c>
    </row>
    <row r="2" spans="1:6" x14ac:dyDescent="0.25">
      <c r="A2" s="3">
        <v>2022</v>
      </c>
      <c r="B2" s="1" t="s">
        <v>3</v>
      </c>
      <c r="C2" s="1" t="s">
        <v>18</v>
      </c>
      <c r="D2" s="1" t="s">
        <v>4</v>
      </c>
      <c r="E2" s="2">
        <v>2029399</v>
      </c>
      <c r="F2" s="2"/>
    </row>
    <row r="3" spans="1:6" x14ac:dyDescent="0.25">
      <c r="A3" s="3">
        <v>2022</v>
      </c>
      <c r="B3" s="1" t="s">
        <v>3</v>
      </c>
      <c r="C3" s="1" t="s">
        <v>19</v>
      </c>
      <c r="D3" s="1" t="s">
        <v>12</v>
      </c>
      <c r="E3" s="2">
        <v>-54048</v>
      </c>
    </row>
    <row r="4" spans="1:6" x14ac:dyDescent="0.25">
      <c r="A4" s="3">
        <v>2022</v>
      </c>
      <c r="B4" s="1" t="s">
        <v>3</v>
      </c>
      <c r="C4" s="1" t="s">
        <v>18</v>
      </c>
      <c r="D4" s="1" t="s">
        <v>26</v>
      </c>
      <c r="E4" s="2">
        <f>SUM(E5:E7,E3)</f>
        <v>1956514</v>
      </c>
    </row>
    <row r="5" spans="1:6" x14ac:dyDescent="0.25">
      <c r="A5" s="3">
        <v>2022</v>
      </c>
      <c r="B5" s="1" t="s">
        <v>3</v>
      </c>
      <c r="C5" s="1" t="s">
        <v>16</v>
      </c>
      <c r="D5" s="1" t="s">
        <v>5</v>
      </c>
      <c r="E5" s="2">
        <v>18311</v>
      </c>
    </row>
    <row r="6" spans="1:6" x14ac:dyDescent="0.25">
      <c r="A6" s="3">
        <v>2022</v>
      </c>
      <c r="B6" s="1" t="s">
        <v>3</v>
      </c>
      <c r="C6" s="1" t="s">
        <v>16</v>
      </c>
      <c r="D6" s="1" t="s">
        <v>6</v>
      </c>
      <c r="E6" s="2">
        <v>1925433</v>
      </c>
    </row>
    <row r="7" spans="1:6" x14ac:dyDescent="0.25">
      <c r="A7" s="3">
        <v>2022</v>
      </c>
      <c r="B7" s="1" t="s">
        <v>3</v>
      </c>
      <c r="C7" s="1" t="s">
        <v>16</v>
      </c>
      <c r="D7" s="1" t="s">
        <v>7</v>
      </c>
      <c r="E7" s="2">
        <v>66818</v>
      </c>
    </row>
    <row r="8" spans="1:6" x14ac:dyDescent="0.25">
      <c r="A8" s="3">
        <v>2022</v>
      </c>
      <c r="B8" s="1" t="s">
        <v>3</v>
      </c>
      <c r="C8" s="1" t="s">
        <v>18</v>
      </c>
      <c r="D8" s="1" t="s">
        <v>27</v>
      </c>
      <c r="E8" s="2">
        <f>SUM(E9:E12)</f>
        <v>72886</v>
      </c>
    </row>
    <row r="9" spans="1:6" x14ac:dyDescent="0.25">
      <c r="A9" s="3">
        <v>2022</v>
      </c>
      <c r="B9" s="1" t="s">
        <v>3</v>
      </c>
      <c r="C9" s="1" t="s">
        <v>17</v>
      </c>
      <c r="D9" s="1" t="s">
        <v>8</v>
      </c>
      <c r="E9" s="2">
        <v>18794</v>
      </c>
    </row>
    <row r="10" spans="1:6" x14ac:dyDescent="0.25">
      <c r="A10" s="3">
        <v>2022</v>
      </c>
      <c r="B10" s="1" t="s">
        <v>3</v>
      </c>
      <c r="C10" s="1" t="s">
        <v>17</v>
      </c>
      <c r="D10" s="1" t="s">
        <v>9</v>
      </c>
      <c r="E10" s="2">
        <v>8826</v>
      </c>
    </row>
    <row r="11" spans="1:6" x14ac:dyDescent="0.25">
      <c r="A11" s="3">
        <v>2022</v>
      </c>
      <c r="B11" s="1" t="s">
        <v>3</v>
      </c>
      <c r="C11" s="1" t="s">
        <v>17</v>
      </c>
      <c r="D11" s="1" t="s">
        <v>10</v>
      </c>
      <c r="E11" s="2">
        <v>11091</v>
      </c>
    </row>
    <row r="12" spans="1:6" x14ac:dyDescent="0.25">
      <c r="A12" s="3">
        <v>2022</v>
      </c>
      <c r="B12" s="1" t="s">
        <v>3</v>
      </c>
      <c r="C12" s="1" t="s">
        <v>17</v>
      </c>
      <c r="D12" s="1" t="s">
        <v>11</v>
      </c>
      <c r="E12" s="2">
        <v>34175</v>
      </c>
    </row>
    <row r="13" spans="1:6" x14ac:dyDescent="0.25">
      <c r="A13" s="3">
        <v>2022</v>
      </c>
      <c r="B13" s="1" t="s">
        <v>13</v>
      </c>
      <c r="C13" s="1" t="s">
        <v>18</v>
      </c>
      <c r="D13" s="1" t="s">
        <v>25</v>
      </c>
      <c r="E13" s="2">
        <v>1865370</v>
      </c>
    </row>
    <row r="14" spans="1:6" x14ac:dyDescent="0.25">
      <c r="A14" s="3">
        <v>2022</v>
      </c>
      <c r="B14" s="1" t="s">
        <v>13</v>
      </c>
      <c r="C14" s="1" t="s">
        <v>18</v>
      </c>
      <c r="D14" s="1" t="s">
        <v>28</v>
      </c>
      <c r="E14" s="2">
        <f>SUM(E15:E18)</f>
        <v>1865370</v>
      </c>
    </row>
    <row r="15" spans="1:6" x14ac:dyDescent="0.25">
      <c r="A15" s="3">
        <v>2022</v>
      </c>
      <c r="B15" s="1" t="s">
        <v>13</v>
      </c>
      <c r="C15" s="1" t="s">
        <v>23</v>
      </c>
      <c r="D15" s="1" t="s">
        <v>20</v>
      </c>
      <c r="E15" s="2">
        <v>1782027</v>
      </c>
    </row>
    <row r="16" spans="1:6" x14ac:dyDescent="0.25">
      <c r="A16" s="3">
        <v>2022</v>
      </c>
      <c r="B16" s="1" t="s">
        <v>13</v>
      </c>
      <c r="C16" s="1" t="s">
        <v>23</v>
      </c>
      <c r="D16" s="1" t="s">
        <v>21</v>
      </c>
      <c r="E16" s="2">
        <v>25718</v>
      </c>
    </row>
    <row r="17" spans="1:6" x14ac:dyDescent="0.25">
      <c r="A17" s="3">
        <v>2022</v>
      </c>
      <c r="B17" s="1" t="s">
        <v>13</v>
      </c>
      <c r="C17" s="1" t="s">
        <v>23</v>
      </c>
      <c r="D17" s="1" t="s">
        <v>22</v>
      </c>
      <c r="E17" s="2">
        <v>20973</v>
      </c>
    </row>
    <row r="18" spans="1:6" x14ac:dyDescent="0.25">
      <c r="A18" s="3">
        <v>2022</v>
      </c>
      <c r="B18" s="1" t="s">
        <v>13</v>
      </c>
      <c r="C18" s="1" t="s">
        <v>23</v>
      </c>
      <c r="D18" s="1" t="s">
        <v>42</v>
      </c>
      <c r="E18" s="2">
        <v>36652</v>
      </c>
    </row>
    <row r="19" spans="1:6" s="9" customFormat="1" x14ac:dyDescent="0.25">
      <c r="A19" s="8">
        <v>2022</v>
      </c>
      <c r="B19" s="9" t="s">
        <v>24</v>
      </c>
      <c r="C19" s="9" t="s">
        <v>18</v>
      </c>
      <c r="D19" s="9" t="s">
        <v>24</v>
      </c>
      <c r="E19" s="10">
        <v>164029</v>
      </c>
      <c r="F19" s="10"/>
    </row>
    <row r="20" spans="1:6" x14ac:dyDescent="0.25">
      <c r="A20" s="8">
        <v>2022</v>
      </c>
      <c r="B20" s="9" t="s">
        <v>24</v>
      </c>
      <c r="C20" t="s">
        <v>29</v>
      </c>
      <c r="D20" s="1" t="s">
        <v>29</v>
      </c>
      <c r="E20" s="2">
        <v>90000</v>
      </c>
    </row>
    <row r="21" spans="1:6" x14ac:dyDescent="0.25">
      <c r="A21" s="8">
        <v>2022</v>
      </c>
      <c r="B21" s="9" t="s">
        <v>24</v>
      </c>
      <c r="C21" t="s">
        <v>29</v>
      </c>
      <c r="D21" s="1" t="s">
        <v>30</v>
      </c>
      <c r="E21" s="2">
        <v>7100</v>
      </c>
    </row>
    <row r="22" spans="1:6" x14ac:dyDescent="0.25">
      <c r="A22" s="8">
        <v>2022</v>
      </c>
      <c r="B22" s="9" t="s">
        <v>24</v>
      </c>
      <c r="C22" t="s">
        <v>37</v>
      </c>
      <c r="D22" s="1" t="s">
        <v>31</v>
      </c>
      <c r="E22" s="2">
        <v>1404</v>
      </c>
    </row>
    <row r="23" spans="1:6" x14ac:dyDescent="0.25">
      <c r="A23" s="8">
        <v>2022</v>
      </c>
      <c r="B23" s="9" t="s">
        <v>24</v>
      </c>
      <c r="C23" t="s">
        <v>37</v>
      </c>
      <c r="D23" s="1" t="s">
        <v>32</v>
      </c>
      <c r="E23" s="2">
        <v>70142</v>
      </c>
    </row>
    <row r="24" spans="1:6" x14ac:dyDescent="0.25">
      <c r="A24" s="8">
        <v>2022</v>
      </c>
      <c r="B24" s="9" t="s">
        <v>24</v>
      </c>
      <c r="C24" t="s">
        <v>38</v>
      </c>
      <c r="D24" s="1" t="s">
        <v>33</v>
      </c>
      <c r="E24" s="2">
        <v>-8225</v>
      </c>
    </row>
    <row r="25" spans="1:6" x14ac:dyDescent="0.25">
      <c r="A25" s="8">
        <v>2022</v>
      </c>
      <c r="B25" s="9" t="s">
        <v>24</v>
      </c>
      <c r="C25" t="s">
        <v>39</v>
      </c>
      <c r="D25" s="1" t="s">
        <v>34</v>
      </c>
      <c r="E25" s="2">
        <v>-273</v>
      </c>
    </row>
    <row r="26" spans="1:6" x14ac:dyDescent="0.25">
      <c r="A26" s="8">
        <v>2022</v>
      </c>
      <c r="B26" s="9" t="s">
        <v>24</v>
      </c>
      <c r="C26" t="s">
        <v>40</v>
      </c>
      <c r="D26" s="1" t="s">
        <v>35</v>
      </c>
      <c r="E26" s="2">
        <v>422</v>
      </c>
    </row>
    <row r="27" spans="1:6" ht="16.5" thickBot="1" x14ac:dyDescent="0.3">
      <c r="A27" s="11">
        <v>2022</v>
      </c>
      <c r="B27" s="12" t="s">
        <v>24</v>
      </c>
      <c r="C27" s="13" t="s">
        <v>41</v>
      </c>
      <c r="D27" s="12" t="s">
        <v>36</v>
      </c>
      <c r="E27" s="14">
        <v>3458</v>
      </c>
    </row>
    <row r="28" spans="1:6" ht="16.5" thickTop="1" x14ac:dyDescent="0.25">
      <c r="A28" s="3">
        <v>2023</v>
      </c>
      <c r="B28" s="1" t="s">
        <v>3</v>
      </c>
      <c r="C28" s="1" t="s">
        <v>18</v>
      </c>
      <c r="D28" s="1" t="s">
        <v>4</v>
      </c>
      <c r="E28" s="2">
        <v>2172480</v>
      </c>
    </row>
    <row r="29" spans="1:6" x14ac:dyDescent="0.25">
      <c r="A29" s="3">
        <v>2023</v>
      </c>
      <c r="B29" s="1" t="s">
        <v>3</v>
      </c>
      <c r="C29" s="1" t="s">
        <v>19</v>
      </c>
      <c r="D29" s="1" t="s">
        <v>12</v>
      </c>
      <c r="E29" s="2">
        <v>-59673</v>
      </c>
    </row>
    <row r="30" spans="1:6" x14ac:dyDescent="0.25">
      <c r="A30" s="3">
        <v>2023</v>
      </c>
      <c r="B30" s="1" t="s">
        <v>3</v>
      </c>
      <c r="C30" s="1" t="s">
        <v>18</v>
      </c>
      <c r="D30" s="1" t="s">
        <v>26</v>
      </c>
      <c r="E30" s="2">
        <f>SUM(E31:E33,E29)</f>
        <v>2100841</v>
      </c>
    </row>
    <row r="31" spans="1:6" x14ac:dyDescent="0.25">
      <c r="A31" s="3">
        <v>2023</v>
      </c>
      <c r="B31" s="1" t="s">
        <v>3</v>
      </c>
      <c r="C31" s="1" t="s">
        <v>16</v>
      </c>
      <c r="D31" s="1" t="s">
        <v>5</v>
      </c>
      <c r="E31" s="2">
        <v>17328</v>
      </c>
    </row>
    <row r="32" spans="1:6" x14ac:dyDescent="0.25">
      <c r="A32" s="3">
        <v>2023</v>
      </c>
      <c r="B32" s="1" t="s">
        <v>3</v>
      </c>
      <c r="C32" s="1" t="s">
        <v>16</v>
      </c>
      <c r="D32" s="1" t="s">
        <v>6</v>
      </c>
      <c r="E32" s="2">
        <v>2072861</v>
      </c>
    </row>
    <row r="33" spans="1:5" x14ac:dyDescent="0.25">
      <c r="A33" s="3">
        <v>2023</v>
      </c>
      <c r="B33" s="1" t="s">
        <v>3</v>
      </c>
      <c r="C33" s="1" t="s">
        <v>16</v>
      </c>
      <c r="D33" s="1" t="s">
        <v>7</v>
      </c>
      <c r="E33" s="2">
        <v>70325</v>
      </c>
    </row>
    <row r="34" spans="1:5" x14ac:dyDescent="0.25">
      <c r="A34" s="3">
        <v>2023</v>
      </c>
      <c r="B34" s="1" t="s">
        <v>3</v>
      </c>
      <c r="C34" s="1" t="s">
        <v>18</v>
      </c>
      <c r="D34" s="1" t="s">
        <v>27</v>
      </c>
      <c r="E34" s="2">
        <f>SUM(E35:E38)</f>
        <v>71639</v>
      </c>
    </row>
    <row r="35" spans="1:5" x14ac:dyDescent="0.25">
      <c r="A35" s="3">
        <v>2023</v>
      </c>
      <c r="B35" s="1" t="s">
        <v>3</v>
      </c>
      <c r="C35" s="1" t="s">
        <v>17</v>
      </c>
      <c r="D35" s="1" t="s">
        <v>8</v>
      </c>
      <c r="E35" s="2">
        <v>21082</v>
      </c>
    </row>
    <row r="36" spans="1:5" x14ac:dyDescent="0.25">
      <c r="A36" s="3">
        <v>2023</v>
      </c>
      <c r="B36" s="1" t="s">
        <v>3</v>
      </c>
      <c r="C36" s="1" t="s">
        <v>17</v>
      </c>
      <c r="D36" s="1" t="s">
        <v>9</v>
      </c>
      <c r="E36" s="2">
        <v>10072</v>
      </c>
    </row>
    <row r="37" spans="1:5" s="9" customFormat="1" x14ac:dyDescent="0.25">
      <c r="A37" s="3">
        <v>2023</v>
      </c>
      <c r="B37" s="1" t="s">
        <v>3</v>
      </c>
      <c r="C37" s="1" t="s">
        <v>17</v>
      </c>
      <c r="D37" s="1" t="s">
        <v>10</v>
      </c>
      <c r="E37" s="2">
        <v>10801</v>
      </c>
    </row>
    <row r="38" spans="1:5" x14ac:dyDescent="0.25">
      <c r="A38" s="3">
        <v>2023</v>
      </c>
      <c r="B38" s="1" t="s">
        <v>3</v>
      </c>
      <c r="C38" s="1" t="s">
        <v>17</v>
      </c>
      <c r="D38" s="1" t="s">
        <v>11</v>
      </c>
      <c r="E38" s="2">
        <v>29684</v>
      </c>
    </row>
    <row r="39" spans="1:5" x14ac:dyDescent="0.25">
      <c r="A39" s="3">
        <v>2023</v>
      </c>
      <c r="B39" s="1" t="s">
        <v>13</v>
      </c>
      <c r="C39" s="1" t="s">
        <v>18</v>
      </c>
      <c r="D39" s="1" t="s">
        <v>25</v>
      </c>
      <c r="E39" s="2">
        <v>1999403</v>
      </c>
    </row>
    <row r="40" spans="1:5" x14ac:dyDescent="0.25">
      <c r="A40" s="3">
        <v>2023</v>
      </c>
      <c r="B40" s="1" t="s">
        <v>13</v>
      </c>
      <c r="C40" s="1" t="s">
        <v>18</v>
      </c>
      <c r="D40" s="1" t="s">
        <v>28</v>
      </c>
      <c r="E40" s="2">
        <f>SUM(E41:E44)</f>
        <v>1999403</v>
      </c>
    </row>
    <row r="41" spans="1:5" x14ac:dyDescent="0.25">
      <c r="A41" s="3">
        <v>2023</v>
      </c>
      <c r="B41" s="1" t="s">
        <v>13</v>
      </c>
      <c r="C41" s="1" t="s">
        <v>23</v>
      </c>
      <c r="D41" s="1" t="s">
        <v>20</v>
      </c>
      <c r="E41" s="2">
        <v>1911665</v>
      </c>
    </row>
    <row r="42" spans="1:5" x14ac:dyDescent="0.25">
      <c r="A42" s="3">
        <v>2023</v>
      </c>
      <c r="B42" s="1" t="s">
        <v>13</v>
      </c>
      <c r="C42" s="1" t="s">
        <v>23</v>
      </c>
      <c r="D42" s="1" t="s">
        <v>21</v>
      </c>
      <c r="E42" s="2">
        <v>26748</v>
      </c>
    </row>
    <row r="43" spans="1:5" x14ac:dyDescent="0.25">
      <c r="A43" s="3">
        <v>2023</v>
      </c>
      <c r="B43" s="1" t="s">
        <v>13</v>
      </c>
      <c r="C43" s="1" t="s">
        <v>23</v>
      </c>
      <c r="D43" s="1" t="s">
        <v>22</v>
      </c>
      <c r="E43" s="2">
        <v>19029</v>
      </c>
    </row>
    <row r="44" spans="1:5" x14ac:dyDescent="0.25">
      <c r="A44" s="3">
        <v>2023</v>
      </c>
      <c r="B44" s="1" t="s">
        <v>13</v>
      </c>
      <c r="C44" s="1" t="s">
        <v>23</v>
      </c>
      <c r="D44" s="1" t="s">
        <v>42</v>
      </c>
      <c r="E44" s="2">
        <v>41961</v>
      </c>
    </row>
    <row r="45" spans="1:5" x14ac:dyDescent="0.25">
      <c r="A45" s="3">
        <v>2023</v>
      </c>
      <c r="B45" s="9" t="s">
        <v>24</v>
      </c>
      <c r="C45" s="9" t="s">
        <v>18</v>
      </c>
      <c r="D45" s="9" t="s">
        <v>24</v>
      </c>
      <c r="E45" s="10">
        <v>173076</v>
      </c>
    </row>
    <row r="46" spans="1:5" x14ac:dyDescent="0.25">
      <c r="A46" s="3">
        <v>2023</v>
      </c>
      <c r="B46" s="9" t="s">
        <v>24</v>
      </c>
      <c r="C46" t="s">
        <v>29</v>
      </c>
      <c r="D46" s="1" t="s">
        <v>29</v>
      </c>
      <c r="E46" s="2">
        <v>120000</v>
      </c>
    </row>
    <row r="47" spans="1:5" x14ac:dyDescent="0.25">
      <c r="A47" s="3">
        <v>2023</v>
      </c>
      <c r="B47" s="9" t="s">
        <v>24</v>
      </c>
      <c r="C47" t="s">
        <v>29</v>
      </c>
      <c r="D47" s="1" t="s">
        <v>30</v>
      </c>
      <c r="E47" s="2">
        <v>6100</v>
      </c>
    </row>
    <row r="48" spans="1:5" x14ac:dyDescent="0.25">
      <c r="A48" s="3">
        <v>2023</v>
      </c>
      <c r="B48" s="9" t="s">
        <v>24</v>
      </c>
      <c r="C48" t="s">
        <v>37</v>
      </c>
      <c r="D48" s="1" t="s">
        <v>31</v>
      </c>
      <c r="E48" s="2">
        <v>1408</v>
      </c>
    </row>
    <row r="49" spans="1:5" x14ac:dyDescent="0.25">
      <c r="A49" s="3">
        <v>2023</v>
      </c>
      <c r="B49" s="9" t="s">
        <v>24</v>
      </c>
      <c r="C49" t="s">
        <v>37</v>
      </c>
      <c r="D49" s="1" t="s">
        <v>32</v>
      </c>
      <c r="E49" s="2">
        <v>61154</v>
      </c>
    </row>
    <row r="50" spans="1:5" x14ac:dyDescent="0.25">
      <c r="A50" s="3">
        <v>2023</v>
      </c>
      <c r="B50" s="9" t="s">
        <v>24</v>
      </c>
      <c r="C50" t="s">
        <v>38</v>
      </c>
      <c r="D50" s="1" t="s">
        <v>33</v>
      </c>
      <c r="E50" s="2">
        <v>-19028</v>
      </c>
    </row>
    <row r="51" spans="1:5" x14ac:dyDescent="0.25">
      <c r="A51" s="3">
        <v>2023</v>
      </c>
      <c r="B51" s="9" t="s">
        <v>24</v>
      </c>
      <c r="C51" t="s">
        <v>39</v>
      </c>
      <c r="D51" s="1" t="s">
        <v>34</v>
      </c>
      <c r="E51" s="2">
        <v>-268</v>
      </c>
    </row>
    <row r="52" spans="1:5" x14ac:dyDescent="0.25">
      <c r="A52" s="3">
        <v>2023</v>
      </c>
      <c r="B52" s="9" t="s">
        <v>24</v>
      </c>
      <c r="C52" t="s">
        <v>40</v>
      </c>
      <c r="D52" s="1" t="s">
        <v>35</v>
      </c>
      <c r="E52" s="2">
        <v>0</v>
      </c>
    </row>
    <row r="53" spans="1:5" ht="16.5" thickBot="1" x14ac:dyDescent="0.3">
      <c r="A53" s="11">
        <v>2023</v>
      </c>
      <c r="B53" s="12" t="s">
        <v>24</v>
      </c>
      <c r="C53" s="13" t="s">
        <v>41</v>
      </c>
      <c r="D53" s="12" t="s">
        <v>36</v>
      </c>
      <c r="E53" s="14">
        <v>3710</v>
      </c>
    </row>
    <row r="54" spans="1:5" ht="16.5" thickTop="1" x14ac:dyDescent="0.25">
      <c r="A54" s="3">
        <v>2024</v>
      </c>
      <c r="B54" s="1" t="s">
        <v>3</v>
      </c>
      <c r="C54" s="1" t="s">
        <v>18</v>
      </c>
      <c r="D54" s="1" t="s">
        <v>4</v>
      </c>
      <c r="E54" s="2">
        <v>2433868</v>
      </c>
    </row>
    <row r="55" spans="1:5" x14ac:dyDescent="0.25">
      <c r="A55" s="3">
        <v>2024</v>
      </c>
      <c r="B55" s="1" t="s">
        <v>3</v>
      </c>
      <c r="C55" s="1" t="s">
        <v>19</v>
      </c>
      <c r="D55" s="1" t="s">
        <v>12</v>
      </c>
      <c r="E55" s="2">
        <v>-66153</v>
      </c>
    </row>
    <row r="56" spans="1:5" x14ac:dyDescent="0.25">
      <c r="A56" s="3">
        <v>2024</v>
      </c>
      <c r="B56" s="1" t="s">
        <v>3</v>
      </c>
      <c r="C56" s="1" t="s">
        <v>18</v>
      </c>
      <c r="D56" s="1" t="s">
        <v>26</v>
      </c>
      <c r="E56" s="2">
        <f>SUM(E57:E59,E55)</f>
        <v>2354402</v>
      </c>
    </row>
    <row r="57" spans="1:5" x14ac:dyDescent="0.25">
      <c r="A57" s="3">
        <v>2024</v>
      </c>
      <c r="B57" s="1" t="s">
        <v>3</v>
      </c>
      <c r="C57" s="1" t="s">
        <v>16</v>
      </c>
      <c r="D57" s="1" t="s">
        <v>5</v>
      </c>
      <c r="E57" s="2">
        <v>20079</v>
      </c>
    </row>
    <row r="58" spans="1:5" x14ac:dyDescent="0.25">
      <c r="A58" s="3">
        <v>2024</v>
      </c>
      <c r="B58" s="1" t="s">
        <v>3</v>
      </c>
      <c r="C58" s="1" t="s">
        <v>16</v>
      </c>
      <c r="D58" s="1" t="s">
        <v>6</v>
      </c>
      <c r="E58" s="2">
        <v>2318706</v>
      </c>
    </row>
    <row r="59" spans="1:5" x14ac:dyDescent="0.25">
      <c r="A59" s="3">
        <v>2024</v>
      </c>
      <c r="B59" s="1" t="s">
        <v>3</v>
      </c>
      <c r="C59" s="1" t="s">
        <v>16</v>
      </c>
      <c r="D59" s="1" t="s">
        <v>7</v>
      </c>
      <c r="E59" s="2">
        <v>81770</v>
      </c>
    </row>
    <row r="60" spans="1:5" x14ac:dyDescent="0.25">
      <c r="A60" s="3">
        <v>2024</v>
      </c>
      <c r="B60" s="1" t="s">
        <v>3</v>
      </c>
      <c r="C60" s="1" t="s">
        <v>18</v>
      </c>
      <c r="D60" s="1" t="s">
        <v>27</v>
      </c>
      <c r="E60" s="2">
        <f>SUM(E61:E64)</f>
        <v>79463</v>
      </c>
    </row>
    <row r="61" spans="1:5" x14ac:dyDescent="0.25">
      <c r="A61" s="3">
        <v>2024</v>
      </c>
      <c r="B61" s="1" t="s">
        <v>3</v>
      </c>
      <c r="C61" s="1" t="s">
        <v>17</v>
      </c>
      <c r="D61" s="1" t="s">
        <v>8</v>
      </c>
      <c r="E61" s="2">
        <v>20960</v>
      </c>
    </row>
    <row r="62" spans="1:5" x14ac:dyDescent="0.25">
      <c r="A62" s="3">
        <v>2024</v>
      </c>
      <c r="B62" s="1" t="s">
        <v>3</v>
      </c>
      <c r="C62" s="1" t="s">
        <v>17</v>
      </c>
      <c r="D62" s="1" t="s">
        <v>9</v>
      </c>
      <c r="E62" s="2">
        <v>11499</v>
      </c>
    </row>
    <row r="63" spans="1:5" x14ac:dyDescent="0.25">
      <c r="A63" s="3">
        <v>2024</v>
      </c>
      <c r="B63" s="1" t="s">
        <v>3</v>
      </c>
      <c r="C63" s="1" t="s">
        <v>17</v>
      </c>
      <c r="D63" s="1" t="s">
        <v>10</v>
      </c>
      <c r="E63" s="2">
        <v>11336</v>
      </c>
    </row>
    <row r="64" spans="1:5" x14ac:dyDescent="0.25">
      <c r="A64" s="3">
        <v>2024</v>
      </c>
      <c r="B64" s="1" t="s">
        <v>3</v>
      </c>
      <c r="C64" s="1" t="s">
        <v>17</v>
      </c>
      <c r="D64" s="1" t="s">
        <v>11</v>
      </c>
      <c r="E64" s="2">
        <v>35668</v>
      </c>
    </row>
    <row r="65" spans="1:5" x14ac:dyDescent="0.25">
      <c r="A65" s="3">
        <v>2024</v>
      </c>
      <c r="B65" s="1" t="s">
        <v>13</v>
      </c>
      <c r="C65" s="1" t="s">
        <v>18</v>
      </c>
      <c r="D65" s="1" t="s">
        <v>25</v>
      </c>
      <c r="E65" s="2">
        <v>2243795</v>
      </c>
    </row>
    <row r="66" spans="1:5" x14ac:dyDescent="0.25">
      <c r="A66" s="3">
        <v>2024</v>
      </c>
      <c r="B66" s="1" t="s">
        <v>13</v>
      </c>
      <c r="C66" s="1" t="s">
        <v>18</v>
      </c>
      <c r="D66" s="1" t="s">
        <v>28</v>
      </c>
      <c r="E66" s="2">
        <f>SUM(E67:E70)</f>
        <v>2243793</v>
      </c>
    </row>
    <row r="67" spans="1:5" x14ac:dyDescent="0.25">
      <c r="A67" s="3">
        <v>2024</v>
      </c>
      <c r="B67" s="1" t="s">
        <v>13</v>
      </c>
      <c r="C67" s="1" t="s">
        <v>23</v>
      </c>
      <c r="D67" s="1" t="s">
        <v>20</v>
      </c>
      <c r="E67" s="2">
        <v>2145091</v>
      </c>
    </row>
    <row r="68" spans="1:5" x14ac:dyDescent="0.25">
      <c r="A68" s="3">
        <v>2024</v>
      </c>
      <c r="B68" s="1" t="s">
        <v>13</v>
      </c>
      <c r="C68" s="1" t="s">
        <v>23</v>
      </c>
      <c r="D68" s="1" t="s">
        <v>21</v>
      </c>
      <c r="E68" s="2">
        <v>31889</v>
      </c>
    </row>
    <row r="69" spans="1:5" x14ac:dyDescent="0.25">
      <c r="A69" s="3">
        <v>2024</v>
      </c>
      <c r="B69" s="1" t="s">
        <v>13</v>
      </c>
      <c r="C69" s="1" t="s">
        <v>23</v>
      </c>
      <c r="D69" s="1" t="s">
        <v>22</v>
      </c>
      <c r="E69" s="2">
        <v>22849</v>
      </c>
    </row>
    <row r="70" spans="1:5" x14ac:dyDescent="0.25">
      <c r="A70" s="3">
        <v>2024</v>
      </c>
      <c r="B70" s="1" t="s">
        <v>13</v>
      </c>
      <c r="C70" s="1" t="s">
        <v>23</v>
      </c>
      <c r="D70" s="1" t="s">
        <v>42</v>
      </c>
      <c r="E70" s="2">
        <v>43964</v>
      </c>
    </row>
    <row r="71" spans="1:5" x14ac:dyDescent="0.25">
      <c r="A71" s="3">
        <v>2024</v>
      </c>
      <c r="B71" s="9" t="s">
        <v>24</v>
      </c>
      <c r="C71" s="9" t="s">
        <v>18</v>
      </c>
      <c r="D71" s="9" t="s">
        <v>24</v>
      </c>
      <c r="E71" s="10">
        <v>190072</v>
      </c>
    </row>
    <row r="72" spans="1:5" x14ac:dyDescent="0.25">
      <c r="A72" s="3">
        <v>2024</v>
      </c>
      <c r="B72" s="9" t="s">
        <v>24</v>
      </c>
      <c r="C72" t="s">
        <v>29</v>
      </c>
      <c r="D72" s="1" t="s">
        <v>29</v>
      </c>
      <c r="E72" s="2">
        <v>120000</v>
      </c>
    </row>
    <row r="73" spans="1:5" x14ac:dyDescent="0.25">
      <c r="A73" s="3">
        <v>2024</v>
      </c>
      <c r="B73" s="9" t="s">
        <v>24</v>
      </c>
      <c r="C73" t="s">
        <v>29</v>
      </c>
      <c r="D73" s="1" t="s">
        <v>30</v>
      </c>
      <c r="E73" s="2">
        <v>5100</v>
      </c>
    </row>
    <row r="74" spans="1:5" x14ac:dyDescent="0.25">
      <c r="A74" s="3">
        <v>2024</v>
      </c>
      <c r="B74" s="9" t="s">
        <v>24</v>
      </c>
      <c r="C74" t="s">
        <v>37</v>
      </c>
      <c r="D74" s="1" t="s">
        <v>31</v>
      </c>
      <c r="E74" s="2">
        <v>1412</v>
      </c>
    </row>
    <row r="75" spans="1:5" x14ac:dyDescent="0.25">
      <c r="A75" s="3">
        <v>2024</v>
      </c>
      <c r="B75" s="9" t="s">
        <v>24</v>
      </c>
      <c r="C75" t="s">
        <v>37</v>
      </c>
      <c r="D75" s="1" t="s">
        <v>32</v>
      </c>
      <c r="E75" s="2">
        <v>81215</v>
      </c>
    </row>
    <row r="76" spans="1:5" x14ac:dyDescent="0.25">
      <c r="A76" s="3">
        <v>2024</v>
      </c>
      <c r="B76" s="9" t="s">
        <v>24</v>
      </c>
      <c r="C76" t="s">
        <v>38</v>
      </c>
      <c r="D76" s="1" t="s">
        <v>33</v>
      </c>
      <c r="E76" s="2">
        <v>-21892</v>
      </c>
    </row>
    <row r="77" spans="1:5" x14ac:dyDescent="0.25">
      <c r="A77" s="3">
        <v>2024</v>
      </c>
      <c r="B77" s="9" t="s">
        <v>24</v>
      </c>
      <c r="C77" t="s">
        <v>39</v>
      </c>
      <c r="D77" s="1" t="s">
        <v>34</v>
      </c>
      <c r="E77" s="2">
        <v>-263</v>
      </c>
    </row>
    <row r="78" spans="1:5" x14ac:dyDescent="0.25">
      <c r="A78" s="3">
        <v>2024</v>
      </c>
      <c r="B78" s="9" t="s">
        <v>24</v>
      </c>
      <c r="C78" t="s">
        <v>40</v>
      </c>
      <c r="D78" s="1" t="s">
        <v>35</v>
      </c>
      <c r="E78" s="2">
        <v>0</v>
      </c>
    </row>
    <row r="79" spans="1:5" ht="16.5" thickBot="1" x14ac:dyDescent="0.3">
      <c r="A79" s="11">
        <v>2024</v>
      </c>
      <c r="B79" s="12" t="s">
        <v>24</v>
      </c>
      <c r="C79" s="13" t="s">
        <v>41</v>
      </c>
      <c r="D79" s="12" t="s">
        <v>36</v>
      </c>
      <c r="E79" s="14">
        <v>4501</v>
      </c>
    </row>
    <row r="80" spans="1:5" ht="16.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E8 E1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4FC7-8D9C-41D5-9AF9-D3C6E2FE9921}">
  <dimension ref="A1:C24"/>
  <sheetViews>
    <sheetView workbookViewId="0">
      <selection activeCell="A25" sqref="A25"/>
    </sheetView>
  </sheetViews>
  <sheetFormatPr defaultRowHeight="15.75" x14ac:dyDescent="0.25"/>
  <cols>
    <col min="1" max="1" width="9.140625" style="1"/>
    <col min="2" max="2" width="38.7109375" style="1" bestFit="1" customWidth="1"/>
    <col min="3" max="3" width="15.85546875" style="2" bestFit="1" customWidth="1"/>
    <col min="4" max="16384" width="9.140625" style="1"/>
  </cols>
  <sheetData>
    <row r="1" spans="1:3" x14ac:dyDescent="0.25">
      <c r="A1" s="5" t="s">
        <v>0</v>
      </c>
      <c r="B1" s="5" t="s">
        <v>1</v>
      </c>
      <c r="C1" s="6" t="s">
        <v>2</v>
      </c>
    </row>
    <row r="2" spans="1:3" x14ac:dyDescent="0.25">
      <c r="A2" s="1">
        <v>2022</v>
      </c>
      <c r="B2" s="1" t="s">
        <v>49</v>
      </c>
      <c r="C2" s="2">
        <v>62966</v>
      </c>
    </row>
    <row r="3" spans="1:3" x14ac:dyDescent="0.25">
      <c r="A3" s="1">
        <v>2022</v>
      </c>
      <c r="B3" s="1" t="s">
        <v>43</v>
      </c>
      <c r="C3" s="2">
        <v>32333</v>
      </c>
    </row>
    <row r="4" spans="1:3" x14ac:dyDescent="0.25">
      <c r="A4" s="1">
        <v>2022</v>
      </c>
      <c r="B4" s="1" t="s">
        <v>44</v>
      </c>
      <c r="C4" s="2">
        <f>SUM(C2:C3)</f>
        <v>95299</v>
      </c>
    </row>
    <row r="5" spans="1:3" x14ac:dyDescent="0.25">
      <c r="A5" s="1">
        <v>2022</v>
      </c>
      <c r="B5" s="1" t="s">
        <v>45</v>
      </c>
      <c r="C5" s="2">
        <v>48559</v>
      </c>
    </row>
    <row r="6" spans="1:3" x14ac:dyDescent="0.25">
      <c r="A6" s="1">
        <v>2022</v>
      </c>
      <c r="B6" s="1" t="s">
        <v>46</v>
      </c>
      <c r="C6" s="2">
        <v>48700</v>
      </c>
    </row>
    <row r="7" spans="1:3" x14ac:dyDescent="0.25">
      <c r="A7" s="1">
        <v>2022</v>
      </c>
      <c r="B7" s="1" t="s">
        <v>47</v>
      </c>
      <c r="C7" s="2">
        <v>10195</v>
      </c>
    </row>
    <row r="8" spans="1:3" ht="16.5" thickBot="1" x14ac:dyDescent="0.3">
      <c r="A8" s="12">
        <v>2022</v>
      </c>
      <c r="B8" s="12" t="s">
        <v>48</v>
      </c>
      <c r="C8" s="14">
        <v>31011</v>
      </c>
    </row>
    <row r="9" spans="1:3" ht="16.5" thickTop="1" x14ac:dyDescent="0.25">
      <c r="A9" s="1">
        <v>2023</v>
      </c>
      <c r="B9" s="1" t="s">
        <v>49</v>
      </c>
      <c r="C9" s="2">
        <v>56650</v>
      </c>
    </row>
    <row r="10" spans="1:3" x14ac:dyDescent="0.25">
      <c r="A10" s="1">
        <v>2023</v>
      </c>
      <c r="B10" s="1" t="s">
        <v>43</v>
      </c>
      <c r="C10" s="2">
        <v>33831</v>
      </c>
    </row>
    <row r="11" spans="1:3" x14ac:dyDescent="0.25">
      <c r="A11" s="1">
        <v>2023</v>
      </c>
      <c r="B11" s="1" t="s">
        <v>44</v>
      </c>
      <c r="C11" s="2">
        <f>SUM(C9:C10)</f>
        <v>90481</v>
      </c>
    </row>
    <row r="12" spans="1:3" x14ac:dyDescent="0.25">
      <c r="A12" s="1">
        <v>2023</v>
      </c>
      <c r="B12" s="1" t="s">
        <v>45</v>
      </c>
      <c r="C12" s="2">
        <v>52002</v>
      </c>
    </row>
    <row r="13" spans="1:3" x14ac:dyDescent="0.25">
      <c r="A13" s="1">
        <v>2023</v>
      </c>
      <c r="B13" s="1" t="s">
        <v>46</v>
      </c>
      <c r="C13" s="2">
        <v>52255</v>
      </c>
    </row>
    <row r="14" spans="1:3" x14ac:dyDescent="0.25">
      <c r="A14" s="1">
        <v>2023</v>
      </c>
      <c r="B14" s="1" t="s">
        <v>47</v>
      </c>
      <c r="C14" s="2">
        <v>8382</v>
      </c>
    </row>
    <row r="15" spans="1:3" ht="16.5" thickBot="1" x14ac:dyDescent="0.3">
      <c r="A15" s="12">
        <v>2023</v>
      </c>
      <c r="B15" s="12" t="s">
        <v>48</v>
      </c>
      <c r="C15" s="14">
        <v>33819</v>
      </c>
    </row>
    <row r="16" spans="1:3" ht="16.5" thickTop="1" x14ac:dyDescent="0.25">
      <c r="A16" s="1">
        <v>2024</v>
      </c>
      <c r="B16" s="1" t="s">
        <v>49</v>
      </c>
      <c r="C16" s="2">
        <v>66796</v>
      </c>
    </row>
    <row r="17" spans="1:3" x14ac:dyDescent="0.25">
      <c r="A17" s="1">
        <v>2024</v>
      </c>
      <c r="B17" s="1" t="s">
        <v>43</v>
      </c>
      <c r="C17" s="2">
        <v>35477</v>
      </c>
    </row>
    <row r="18" spans="1:3" x14ac:dyDescent="0.25">
      <c r="A18" s="1">
        <v>2024</v>
      </c>
      <c r="B18" s="1" t="s">
        <v>44</v>
      </c>
      <c r="C18" s="2">
        <f>SUM(C16:C17)</f>
        <v>102273</v>
      </c>
    </row>
    <row r="19" spans="1:3" x14ac:dyDescent="0.25">
      <c r="A19" s="1">
        <v>2024</v>
      </c>
      <c r="B19" s="1" t="s">
        <v>45</v>
      </c>
      <c r="C19" s="2">
        <v>46731</v>
      </c>
    </row>
    <row r="20" spans="1:3" x14ac:dyDescent="0.25">
      <c r="A20" s="1">
        <v>2024</v>
      </c>
      <c r="B20" s="1" t="s">
        <v>46</v>
      </c>
      <c r="C20" s="2">
        <v>47005</v>
      </c>
    </row>
    <row r="21" spans="1:3" x14ac:dyDescent="0.25">
      <c r="A21" s="1">
        <v>2024</v>
      </c>
      <c r="B21" s="1" t="s">
        <v>47</v>
      </c>
      <c r="C21" s="2">
        <v>3371</v>
      </c>
    </row>
    <row r="22" spans="1:3" ht="16.5" thickBot="1" x14ac:dyDescent="0.3">
      <c r="A22" s="12">
        <v>2024</v>
      </c>
      <c r="B22" s="12" t="s">
        <v>48</v>
      </c>
      <c r="C22" s="14">
        <v>35439</v>
      </c>
    </row>
    <row r="23" spans="1:3" ht="16.5" thickTop="1" x14ac:dyDescent="0.25"/>
    <row r="24" spans="1:3" x14ac:dyDescent="0.25">
      <c r="A24" s="1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768C-F0CA-43F9-9DFC-62C32BDB058B}">
  <dimension ref="A1:G35"/>
  <sheetViews>
    <sheetView tabSelected="1" workbookViewId="0">
      <selection activeCell="F28" sqref="F28"/>
    </sheetView>
  </sheetViews>
  <sheetFormatPr defaultRowHeight="15.75" x14ac:dyDescent="0.25"/>
  <cols>
    <col min="1" max="1" width="9.140625" style="1"/>
    <col min="2" max="2" width="11.28515625" style="1" bestFit="1" customWidth="1"/>
    <col min="3" max="3" width="47" style="1" bestFit="1" customWidth="1"/>
    <col min="4" max="4" width="58" style="1" bestFit="1" customWidth="1"/>
    <col min="5" max="5" width="9.28515625" style="15" bestFit="1" customWidth="1"/>
    <col min="6" max="6" width="107.140625" style="1" bestFit="1" customWidth="1"/>
    <col min="7" max="7" width="21.140625" style="1" bestFit="1" customWidth="1"/>
    <col min="8" max="16384" width="9.140625" style="1"/>
  </cols>
  <sheetData>
    <row r="1" spans="1:7" x14ac:dyDescent="0.25">
      <c r="A1" s="5" t="s">
        <v>0</v>
      </c>
      <c r="B1" s="5" t="s">
        <v>53</v>
      </c>
      <c r="C1" s="5" t="s">
        <v>51</v>
      </c>
      <c r="D1" s="5" t="s">
        <v>52</v>
      </c>
      <c r="E1" s="16" t="s">
        <v>2</v>
      </c>
      <c r="F1" s="5" t="s">
        <v>55</v>
      </c>
      <c r="G1" s="5" t="s">
        <v>64</v>
      </c>
    </row>
    <row r="2" spans="1:7" x14ac:dyDescent="0.25">
      <c r="A2" s="1">
        <v>2022</v>
      </c>
      <c r="B2" s="1" t="s">
        <v>72</v>
      </c>
      <c r="C2" s="1" t="s">
        <v>54</v>
      </c>
      <c r="D2" s="1" t="s">
        <v>61</v>
      </c>
      <c r="E2" s="15">
        <f>(BP!E5/BP!E14)</f>
        <v>9.8162830966510659E-3</v>
      </c>
      <c r="F2" s="1" t="s">
        <v>56</v>
      </c>
      <c r="G2" s="1" t="s">
        <v>65</v>
      </c>
    </row>
    <row r="3" spans="1:7" x14ac:dyDescent="0.25">
      <c r="A3" s="1">
        <v>2022</v>
      </c>
      <c r="B3" s="1" t="s">
        <v>72</v>
      </c>
      <c r="C3" s="1" t="s">
        <v>58</v>
      </c>
      <c r="D3" s="1" t="s">
        <v>59</v>
      </c>
      <c r="E3" s="15">
        <f>SUM(BP!E4,BP!E8)/SUM(BP!E14)</f>
        <v>1.0879342972171742</v>
      </c>
      <c r="F3" s="1" t="s">
        <v>57</v>
      </c>
      <c r="G3" s="1" t="s">
        <v>65</v>
      </c>
    </row>
    <row r="4" spans="1:7" x14ac:dyDescent="0.25">
      <c r="A4" s="1">
        <v>2022</v>
      </c>
      <c r="B4" s="1" t="s">
        <v>72</v>
      </c>
      <c r="C4" s="1" t="s">
        <v>60</v>
      </c>
      <c r="D4" s="1" t="s">
        <v>62</v>
      </c>
      <c r="E4" s="15">
        <f>BP!E4/BP!E14</f>
        <v>1.0488610838600385</v>
      </c>
      <c r="F4" s="1" t="s">
        <v>63</v>
      </c>
      <c r="G4" s="1" t="s">
        <v>65</v>
      </c>
    </row>
    <row r="5" spans="1:7" x14ac:dyDescent="0.25">
      <c r="A5" s="1">
        <v>2022</v>
      </c>
      <c r="B5" s="1" t="s">
        <v>72</v>
      </c>
      <c r="C5" s="1" t="s">
        <v>66</v>
      </c>
      <c r="D5" s="1" t="s">
        <v>69</v>
      </c>
      <c r="E5" s="15">
        <f>BP!E14/BP!E19</f>
        <v>11.372196379908431</v>
      </c>
      <c r="F5" s="1" t="s">
        <v>67</v>
      </c>
      <c r="G5" s="1" t="s">
        <v>68</v>
      </c>
    </row>
    <row r="6" spans="1:7" x14ac:dyDescent="0.25">
      <c r="A6" s="1">
        <v>2022</v>
      </c>
      <c r="B6" s="1" t="s">
        <v>72</v>
      </c>
      <c r="C6" s="1" t="s">
        <v>70</v>
      </c>
      <c r="D6" s="1" t="s">
        <v>71</v>
      </c>
      <c r="E6" s="15">
        <f>BP!E14/BP!E13</f>
        <v>1</v>
      </c>
      <c r="F6" s="1" t="s">
        <v>73</v>
      </c>
      <c r="G6" s="1" t="s">
        <v>68</v>
      </c>
    </row>
    <row r="7" spans="1:7" x14ac:dyDescent="0.25">
      <c r="A7" s="1">
        <v>2022</v>
      </c>
      <c r="B7" s="1" t="s">
        <v>72</v>
      </c>
      <c r="C7" s="1" t="s">
        <v>74</v>
      </c>
      <c r="D7" s="1" t="s">
        <v>75</v>
      </c>
      <c r="E7" s="15">
        <f>BP!E10/BP!E19</f>
        <v>5.3807558419547763E-2</v>
      </c>
      <c r="F7" s="1" t="s">
        <v>76</v>
      </c>
      <c r="G7" s="1" t="s">
        <v>68</v>
      </c>
    </row>
    <row r="8" spans="1:7" x14ac:dyDescent="0.25">
      <c r="A8" s="1">
        <v>2022</v>
      </c>
      <c r="B8" s="1" t="s">
        <v>77</v>
      </c>
      <c r="C8" s="1" t="s">
        <v>78</v>
      </c>
      <c r="D8" s="1" t="s">
        <v>79</v>
      </c>
      <c r="E8" s="15">
        <f>DRE!C4/BP!E2</f>
        <v>4.6959222902938261E-2</v>
      </c>
      <c r="F8" s="1" t="s">
        <v>80</v>
      </c>
      <c r="G8" s="1" t="s">
        <v>65</v>
      </c>
    </row>
    <row r="9" spans="1:7" x14ac:dyDescent="0.25">
      <c r="A9" s="1">
        <v>2022</v>
      </c>
      <c r="B9" s="1" t="s">
        <v>77</v>
      </c>
      <c r="C9" s="1" t="s">
        <v>81</v>
      </c>
      <c r="D9" s="1" t="s">
        <v>82</v>
      </c>
      <c r="E9" s="15">
        <f>DRE!C8/DRE!C4</f>
        <v>0.32540740196644247</v>
      </c>
      <c r="F9" s="1" t="s">
        <v>83</v>
      </c>
      <c r="G9" s="1" t="s">
        <v>65</v>
      </c>
    </row>
    <row r="10" spans="1:7" x14ac:dyDescent="0.25">
      <c r="A10" s="1">
        <v>2022</v>
      </c>
      <c r="B10" s="1" t="s">
        <v>77</v>
      </c>
      <c r="C10" s="1" t="s">
        <v>84</v>
      </c>
      <c r="D10" s="1" t="s">
        <v>86</v>
      </c>
      <c r="E10" s="15">
        <f>DRE!C8/BP!E2</f>
        <v>1.5280878723208201E-2</v>
      </c>
      <c r="F10" s="1" t="s">
        <v>85</v>
      </c>
      <c r="G10" s="1" t="s">
        <v>65</v>
      </c>
    </row>
    <row r="11" spans="1:7" x14ac:dyDescent="0.25">
      <c r="A11" s="1">
        <v>2022</v>
      </c>
      <c r="B11" s="1" t="s">
        <v>77</v>
      </c>
      <c r="C11" s="1" t="s">
        <v>87</v>
      </c>
      <c r="D11" s="1" t="s">
        <v>88</v>
      </c>
      <c r="E11" s="15">
        <f>DRE!C8/BP!E19</f>
        <v>0.18905803242109626</v>
      </c>
      <c r="F11" s="1" t="s">
        <v>89</v>
      </c>
      <c r="G11" s="1" t="s">
        <v>65</v>
      </c>
    </row>
    <row r="12" spans="1:7" ht="16.5" thickBot="1" x14ac:dyDescent="0.3">
      <c r="A12" s="12">
        <v>2022</v>
      </c>
      <c r="B12" s="12" t="s">
        <v>77</v>
      </c>
      <c r="C12" s="12" t="s">
        <v>90</v>
      </c>
      <c r="D12" s="12" t="s">
        <v>91</v>
      </c>
      <c r="E12" s="17">
        <f>E11/E10</f>
        <v>12.372196379908431</v>
      </c>
      <c r="F12" s="12" t="s">
        <v>92</v>
      </c>
      <c r="G12" s="12" t="s">
        <v>65</v>
      </c>
    </row>
    <row r="13" spans="1:7" ht="16.5" thickTop="1" x14ac:dyDescent="0.25">
      <c r="A13" s="1">
        <v>2023</v>
      </c>
      <c r="B13" s="1" t="s">
        <v>72</v>
      </c>
      <c r="C13" s="1" t="s">
        <v>54</v>
      </c>
      <c r="D13" s="1" t="s">
        <v>61</v>
      </c>
      <c r="E13" s="15">
        <f>BP!E31/BP!E40</f>
        <v>8.6665869762123995E-3</v>
      </c>
      <c r="F13" s="1" t="s">
        <v>56</v>
      </c>
      <c r="G13" s="1" t="s">
        <v>65</v>
      </c>
    </row>
    <row r="14" spans="1:7" x14ac:dyDescent="0.25">
      <c r="A14" s="1">
        <v>2023</v>
      </c>
      <c r="B14" s="1" t="s">
        <v>72</v>
      </c>
      <c r="C14" s="1" t="s">
        <v>58</v>
      </c>
      <c r="D14" s="1" t="s">
        <v>59</v>
      </c>
      <c r="E14" s="15">
        <f>SUM(BP!E30,BP!E34)/BP!E40</f>
        <v>1.0865643394553275</v>
      </c>
      <c r="F14" s="1" t="s">
        <v>57</v>
      </c>
      <c r="G14" s="1" t="s">
        <v>65</v>
      </c>
    </row>
    <row r="15" spans="1:7" x14ac:dyDescent="0.25">
      <c r="A15" s="1">
        <v>2023</v>
      </c>
      <c r="B15" s="1" t="s">
        <v>72</v>
      </c>
      <c r="C15" s="1" t="s">
        <v>60</v>
      </c>
      <c r="D15" s="1" t="s">
        <v>62</v>
      </c>
      <c r="E15" s="15">
        <f>BP!E30/BP!E40</f>
        <v>1.0507341441420264</v>
      </c>
      <c r="F15" s="1" t="s">
        <v>63</v>
      </c>
      <c r="G15" s="1" t="s">
        <v>65</v>
      </c>
    </row>
    <row r="16" spans="1:7" x14ac:dyDescent="0.25">
      <c r="A16" s="1">
        <v>2023</v>
      </c>
      <c r="B16" s="1" t="s">
        <v>72</v>
      </c>
      <c r="C16" s="1" t="s">
        <v>66</v>
      </c>
      <c r="D16" s="1" t="s">
        <v>69</v>
      </c>
      <c r="E16" s="15">
        <f>BP!E39/BP!E45</f>
        <v>11.552167833784003</v>
      </c>
      <c r="F16" s="1" t="s">
        <v>67</v>
      </c>
      <c r="G16" s="1" t="s">
        <v>68</v>
      </c>
    </row>
    <row r="17" spans="1:7" x14ac:dyDescent="0.25">
      <c r="A17" s="1">
        <v>2023</v>
      </c>
      <c r="B17" s="1" t="s">
        <v>72</v>
      </c>
      <c r="C17" s="1" t="s">
        <v>70</v>
      </c>
      <c r="D17" s="1" t="s">
        <v>71</v>
      </c>
      <c r="E17" s="15">
        <f>BP!E40/BP!E39</f>
        <v>1</v>
      </c>
      <c r="F17" s="1" t="s">
        <v>73</v>
      </c>
      <c r="G17" s="1" t="s">
        <v>68</v>
      </c>
    </row>
    <row r="18" spans="1:7" x14ac:dyDescent="0.25">
      <c r="A18" s="1">
        <v>2023</v>
      </c>
      <c r="B18" s="1" t="s">
        <v>72</v>
      </c>
      <c r="C18" s="1" t="s">
        <v>74</v>
      </c>
      <c r="D18" s="1" t="s">
        <v>75</v>
      </c>
      <c r="E18" s="15">
        <f>BP!E36/BP!E45</f>
        <v>5.8194088146247894E-2</v>
      </c>
      <c r="F18" s="1" t="s">
        <v>76</v>
      </c>
      <c r="G18" s="1" t="s">
        <v>68</v>
      </c>
    </row>
    <row r="19" spans="1:7" x14ac:dyDescent="0.25">
      <c r="A19" s="1">
        <v>2023</v>
      </c>
      <c r="B19" s="1" t="s">
        <v>77</v>
      </c>
      <c r="C19" s="1" t="s">
        <v>78</v>
      </c>
      <c r="D19" s="1" t="s">
        <v>79</v>
      </c>
      <c r="E19" s="15">
        <f>DRE!C11/BP!E28</f>
        <v>4.164871483281779E-2</v>
      </c>
      <c r="F19" s="1" t="s">
        <v>80</v>
      </c>
      <c r="G19" s="1" t="s">
        <v>65</v>
      </c>
    </row>
    <row r="20" spans="1:7" x14ac:dyDescent="0.25">
      <c r="A20" s="1">
        <v>2023</v>
      </c>
      <c r="B20" s="1" t="s">
        <v>77</v>
      </c>
      <c r="C20" s="1" t="s">
        <v>81</v>
      </c>
      <c r="D20" s="1" t="s">
        <v>82</v>
      </c>
      <c r="E20" s="15">
        <f>DRE!C15/DRE!C11</f>
        <v>0.37376907859108544</v>
      </c>
      <c r="F20" s="1" t="s">
        <v>83</v>
      </c>
      <c r="G20" s="1" t="s">
        <v>65</v>
      </c>
    </row>
    <row r="21" spans="1:7" x14ac:dyDescent="0.25">
      <c r="A21" s="1">
        <v>2023</v>
      </c>
      <c r="B21" s="1" t="s">
        <v>77</v>
      </c>
      <c r="C21" s="1" t="s">
        <v>84</v>
      </c>
      <c r="D21" s="1" t="s">
        <v>86</v>
      </c>
      <c r="E21" s="15">
        <f>DRE!C15/BP!E28</f>
        <v>1.5567001767565179E-2</v>
      </c>
      <c r="F21" s="1" t="s">
        <v>85</v>
      </c>
      <c r="G21" s="1" t="s">
        <v>65</v>
      </c>
    </row>
    <row r="22" spans="1:7" x14ac:dyDescent="0.25">
      <c r="A22" s="1">
        <v>2023</v>
      </c>
      <c r="B22" s="1" t="s">
        <v>77</v>
      </c>
      <c r="C22" s="1" t="s">
        <v>87</v>
      </c>
      <c r="D22" s="1" t="s">
        <v>88</v>
      </c>
      <c r="E22" s="15">
        <f>DRE!C15/BP!E45</f>
        <v>0.19539970879844692</v>
      </c>
      <c r="F22" s="1" t="s">
        <v>89</v>
      </c>
      <c r="G22" s="1" t="s">
        <v>65</v>
      </c>
    </row>
    <row r="23" spans="1:7" s="12" customFormat="1" ht="16.5" thickBot="1" x14ac:dyDescent="0.3">
      <c r="A23" s="12">
        <v>2023</v>
      </c>
      <c r="B23" s="12" t="s">
        <v>77</v>
      </c>
      <c r="C23" s="12" t="s">
        <v>90</v>
      </c>
      <c r="D23" s="12" t="s">
        <v>91</v>
      </c>
      <c r="E23" s="17">
        <f>E22/E21</f>
        <v>12.552173611592595</v>
      </c>
      <c r="F23" s="12" t="s">
        <v>92</v>
      </c>
      <c r="G23" s="12" t="s">
        <v>65</v>
      </c>
    </row>
    <row r="24" spans="1:7" ht="16.5" thickTop="1" x14ac:dyDescent="0.25">
      <c r="A24" s="1">
        <v>2024</v>
      </c>
      <c r="B24" s="1" t="s">
        <v>72</v>
      </c>
      <c r="C24" s="1" t="s">
        <v>54</v>
      </c>
      <c r="D24" s="1" t="s">
        <v>61</v>
      </c>
      <c r="E24" s="15">
        <f>BP!E57/BP!E65</f>
        <v>8.9486784666157112E-3</v>
      </c>
      <c r="F24" s="1" t="s">
        <v>56</v>
      </c>
      <c r="G24" s="1" t="s">
        <v>65</v>
      </c>
    </row>
    <row r="25" spans="1:7" x14ac:dyDescent="0.25">
      <c r="A25" s="1">
        <v>2024</v>
      </c>
      <c r="B25" s="1" t="s">
        <v>72</v>
      </c>
      <c r="C25" s="1" t="s">
        <v>58</v>
      </c>
      <c r="D25" s="1" t="s">
        <v>59</v>
      </c>
      <c r="E25" s="15">
        <f>SUM(BP!E56,BP!E60)/BP!E66</f>
        <v>1.0847101314604333</v>
      </c>
      <c r="F25" s="1" t="s">
        <v>57</v>
      </c>
      <c r="G25" s="1" t="s">
        <v>65</v>
      </c>
    </row>
    <row r="26" spans="1:7" x14ac:dyDescent="0.25">
      <c r="A26" s="1">
        <v>2024</v>
      </c>
      <c r="B26" s="1" t="s">
        <v>72</v>
      </c>
      <c r="C26" s="1" t="s">
        <v>60</v>
      </c>
      <c r="D26" s="1" t="s">
        <v>62</v>
      </c>
      <c r="E26" s="15">
        <f>BP!E56/BP!E65</f>
        <v>1.049294610247371</v>
      </c>
      <c r="F26" s="1" t="s">
        <v>63</v>
      </c>
      <c r="G26" s="1" t="s">
        <v>65</v>
      </c>
    </row>
    <row r="27" spans="1:7" x14ac:dyDescent="0.25">
      <c r="A27" s="1">
        <v>2024</v>
      </c>
      <c r="B27" s="1" t="s">
        <v>72</v>
      </c>
      <c r="C27" s="1" t="s">
        <v>66</v>
      </c>
      <c r="D27" s="1" t="s">
        <v>69</v>
      </c>
      <c r="E27" s="15">
        <f>BP!E65/BP!E71</f>
        <v>11.804973904625616</v>
      </c>
      <c r="F27" s="1" t="s">
        <v>67</v>
      </c>
      <c r="G27" s="1" t="s">
        <v>68</v>
      </c>
    </row>
    <row r="28" spans="1:7" x14ac:dyDescent="0.25">
      <c r="A28" s="1">
        <v>2024</v>
      </c>
      <c r="B28" s="1" t="s">
        <v>72</v>
      </c>
      <c r="C28" s="1" t="s">
        <v>70</v>
      </c>
      <c r="D28" s="1" t="s">
        <v>71</v>
      </c>
      <c r="E28" s="15">
        <f>BP!E65/BP!E65</f>
        <v>1</v>
      </c>
      <c r="F28" s="7" t="s">
        <v>73</v>
      </c>
      <c r="G28" s="1" t="s">
        <v>68</v>
      </c>
    </row>
    <row r="29" spans="1:7" x14ac:dyDescent="0.25">
      <c r="A29" s="1">
        <v>2024</v>
      </c>
      <c r="B29" s="1" t="s">
        <v>72</v>
      </c>
      <c r="C29" s="1" t="s">
        <v>74</v>
      </c>
      <c r="D29" s="1" t="s">
        <v>75</v>
      </c>
      <c r="E29" s="15">
        <f>BP!E62/BP!E71</f>
        <v>6.0498127025548215E-2</v>
      </c>
      <c r="F29" s="1" t="s">
        <v>76</v>
      </c>
      <c r="G29" s="1" t="s">
        <v>68</v>
      </c>
    </row>
    <row r="30" spans="1:7" x14ac:dyDescent="0.25">
      <c r="A30" s="1">
        <v>2024</v>
      </c>
      <c r="B30" s="1" t="s">
        <v>77</v>
      </c>
      <c r="C30" s="1" t="s">
        <v>78</v>
      </c>
      <c r="D30" s="1" t="s">
        <v>79</v>
      </c>
      <c r="E30" s="15">
        <f>DRE!C18/BP!E54</f>
        <v>4.2020766943811252E-2</v>
      </c>
      <c r="F30" s="1" t="s">
        <v>80</v>
      </c>
      <c r="G30" s="1" t="s">
        <v>65</v>
      </c>
    </row>
    <row r="31" spans="1:7" x14ac:dyDescent="0.25">
      <c r="A31" s="1">
        <v>2024</v>
      </c>
      <c r="B31" s="1" t="s">
        <v>77</v>
      </c>
      <c r="C31" s="1" t="s">
        <v>81</v>
      </c>
      <c r="D31" s="1" t="s">
        <v>82</v>
      </c>
      <c r="E31" s="15">
        <f>DRE!C22/DRE!C18</f>
        <v>0.34651374263001966</v>
      </c>
      <c r="F31" s="1" t="s">
        <v>83</v>
      </c>
      <c r="G31" s="1" t="s">
        <v>65</v>
      </c>
    </row>
    <row r="32" spans="1:7" x14ac:dyDescent="0.25">
      <c r="A32" s="1">
        <v>2024</v>
      </c>
      <c r="B32" s="1" t="s">
        <v>77</v>
      </c>
      <c r="C32" s="1" t="s">
        <v>84</v>
      </c>
      <c r="D32" s="1" t="s">
        <v>86</v>
      </c>
      <c r="E32" s="15">
        <f>DRE!C22/BP!E54</f>
        <v>1.4560773221883849E-2</v>
      </c>
      <c r="F32" s="1" t="s">
        <v>85</v>
      </c>
      <c r="G32" s="1" t="s">
        <v>65</v>
      </c>
    </row>
    <row r="33" spans="1:7" x14ac:dyDescent="0.25">
      <c r="A33" s="1">
        <v>2024</v>
      </c>
      <c r="B33" s="1" t="s">
        <v>77</v>
      </c>
      <c r="C33" s="1" t="s">
        <v>87</v>
      </c>
      <c r="D33" s="1" t="s">
        <v>88</v>
      </c>
      <c r="E33" s="15">
        <f>DRE!C22/BP!E71</f>
        <v>0.18645039774401279</v>
      </c>
      <c r="F33" s="1" t="s">
        <v>89</v>
      </c>
      <c r="G33" s="1" t="s">
        <v>65</v>
      </c>
    </row>
    <row r="34" spans="1:7" ht="16.5" thickBot="1" x14ac:dyDescent="0.3">
      <c r="A34" s="1">
        <v>2024</v>
      </c>
      <c r="B34" s="12" t="s">
        <v>77</v>
      </c>
      <c r="C34" s="12" t="s">
        <v>90</v>
      </c>
      <c r="D34" s="12" t="s">
        <v>91</v>
      </c>
      <c r="E34" s="17">
        <f>E33/E32</f>
        <v>12.804979165789806</v>
      </c>
      <c r="F34" s="12" t="s">
        <v>92</v>
      </c>
      <c r="G34" s="12" t="s">
        <v>65</v>
      </c>
    </row>
    <row r="35" spans="1:7" ht="16.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BP</vt:lpstr>
      <vt:lpstr>DRE</vt:lpstr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2026-03-01T10:10:36Z</dcterms:created>
  <dcterms:modified xsi:type="dcterms:W3CDTF">2026-03-01T19:13:06Z</dcterms:modified>
</cp:coreProperties>
</file>